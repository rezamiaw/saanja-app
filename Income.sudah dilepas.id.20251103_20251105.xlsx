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Default Extension="wmf" ContentType="image/x-wmf"/>
  <Default Extension="emz" ContentType="image/x-emz"/>
  <Default Extension="wmz" ContentType="image/x-w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s>
  <definedNames/>
  <calcPr iterateCount="100" iterateDelta="0.001" refMode="A1"/>
</workbook>
</file>

<file path=xl/sharedStrings.xml><?xml version="1.0" encoding="utf-8"?>
<sst xmlns="http://schemas.openxmlformats.org/spreadsheetml/2006/main" count="81" uniqueCount="81">
  <si>
    <t>Laporan Penghasilan</t>
  </si>
  <si>
    <t>Rincian Laporan</t>
  </si>
  <si>
    <t>Username (Penjual)</t>
  </si>
  <si>
    <t>saanja</t>
  </si>
  <si>
    <t>Dari</t>
  </si>
  <si>
    <t>2025-11-03</t>
  </si>
  <si>
    <t>ke</t>
  </si>
  <si>
    <t>2025-11-05</t>
  </si>
  <si>
    <t>Ringkasan Penghasilan</t>
  </si>
  <si>
    <t>Rp</t>
  </si>
  <si>
    <t>1. Total Pendapatan</t>
  </si>
  <si>
    <t>Subtotal Pesanan</t>
  </si>
  <si>
    <t>Harga Asli Produk</t>
  </si>
  <si>
    <t>Total Diskon Produk</t>
  </si>
  <si>
    <t>Jumlah Pengembalian Dana ke Pembeli</t>
  </si>
  <si>
    <t>Voucher &amp; Subsidi Shopee</t>
  </si>
  <si>
    <t>Diskon Produk dari Shopee</t>
  </si>
  <si>
    <t>Voucher dari Penjual</t>
  </si>
  <si>
    <t>Cashback Koin dari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</si>
  <si>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</si>
  <si>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</si>
  <si>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</si>
  <si>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</si>
  <si>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</si>
  <si>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</si>
  <si>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</si>
  <si>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Pengembalian Biaya Kirim</t>
  </si>
  <si>
    <t>Kembali ke Biaya Pengiriman Pengirim</t>
  </si>
  <si>
    <t>Biaya Admin &amp; Layanan</t>
  </si>
  <si>
    <t>Biaya Komisi AMS</t>
  </si>
  <si>
    <t>Biaya Administrasi</t>
  </si>
  <si>
    <t>Biaya Layanan</t>
  </si>
  <si>
    <t>Biaya Proses Pesanan</t>
  </si>
  <si>
    <t>Premi</t>
  </si>
  <si>
    <t>Biaya Program Hemat Biaya Kirim</t>
  </si>
  <si>
    <t>Biaya Transaksi</t>
  </si>
  <si>
    <t>Biaya Kampanye</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</si>
  <si>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</si>
  <si>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</si>
  <si>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</si>
  <si>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</si>
  <si>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</si>
  <si>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</si>
  <si>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</si>
  <si>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</si>
  <si>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</si>
  <si>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</si>
  <si>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</si>
  <si>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Bea Masuk, PPN &amp; PPh</t>
  </si>
  <si>
    <t>Total Penghasilan</t>
  </si>
  <si>
    <t>Kode Voucher</t>
  </si>
  <si>
    <t>Kompensasi</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</si>
  <si>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</si>
  <si>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</si>
  <si>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</si>
  <si>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</si>
  <si>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</si>
  <si>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</si>
  <si>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</si>
  <si>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251031HYWKP7T2</t>
  </si>
  <si>
    <t>annida7p</t>
  </si>
  <si>
    <t>2025-10-31</t>
  </si>
  <si>
    <t>Online Payment</t>
  </si>
  <si>
    <t>Reguler</t>
  </si>
  <si>
    <t>SPX Standard</t>
  </si>
  <si>
    <t>251101KJY6D56N</t>
  </si>
  <si>
    <t>interessante.label</t>
  </si>
  <si>
    <t>2025-11-01</t>
  </si>
  <si>
    <t>Saldo ShopeePay</t>
  </si>
  <si>
    <t>251031HM1JD1UX</t>
  </si>
  <si>
    <t>anjasmutiara27</t>
  </si>
  <si>
    <t>2510289GB3ERCH</t>
  </si>
  <si>
    <t>nyak.moeh</t>
  </si>
  <si>
    <t>2025-10-28</t>
  </si>
  <si>
    <t>2025-11-04</t>
  </si>
  <si>
    <t>251103QB5GGCUT</t>
  </si>
  <si>
    <t>kaylaassyfazahra</t>
  </si>
  <si>
    <t>2510289MG7G1FS</t>
  </si>
  <si>
    <t>dkb21</t>
  </si>
  <si>
    <t>Hemat Kargo</t>
  </si>
  <si>
    <t>SPX Hemat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</si>
</sst>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s>
  <fills count="8">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8">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c r="B9" s="9" t="s"/>
      <c r="C9" s="9" t="s"/>
      <c r="D9" s="9" t="s"/>
    </row>
    <row r="10" ht="20.4" customHeight="true">
      <c r="A10" s="10" t="s">
        <v>8</v>
      </c>
      <c r="B10" s="10" t="s"/>
      <c r="C10" s="10" t="s"/>
      <c r="D10" s="10" t="s">
        <v>9</v>
      </c>
    </row>
    <row r="11">
      <c r="A11" s="11" t="s">
        <v>10</v>
      </c>
      <c r="B11" s="11" t="s"/>
      <c r="C11" s="11" t="s"/>
      <c r="D11" s="11">
        <v>490625</v>
      </c>
    </row>
    <row r="12">
      <c r="A12" s="12" t="s">
        <v>11</v>
      </c>
      <c r="B12" s="12" t="s"/>
      <c r="C12" s="12" t="s"/>
      <c r="D12" s="12">
        <v>490625</v>
      </c>
    </row>
    <row r="13">
      <c r="A13" s="13" t="s"/>
      <c r="B13" s="13" t="s">
        <v>12</v>
      </c>
      <c r="C13" s="13">
        <v>765222</v>
      </c>
      <c r="D13" s="13" t="s"/>
    </row>
    <row r="14">
      <c r="A14" s="13" t="s"/>
      <c r="B14" s="13" t="s">
        <v>13</v>
      </c>
      <c r="C14" s="13">
        <v>-176472</v>
      </c>
      <c r="D14" s="13" t="s"/>
    </row>
    <row r="15">
      <c r="A15" s="13" t="s"/>
      <c r="B15" s="13" t="s">
        <v>14</v>
      </c>
      <c r="C15" s="13">
        <v>-98125</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-6500</v>
      </c>
    </row>
    <row r="23">
      <c r="A23" s="12" t="s">
        <v>20</v>
      </c>
      <c r="B23" s="12" t="s"/>
      <c r="C23" s="12" t="s"/>
      <c r="D23" s="12">
        <v>-6500</v>
      </c>
    </row>
    <row r="24">
      <c r="A24" s="13" t="s"/>
      <c r="B24" s="13" t="s">
        <v>21</v>
      </c>
      <c r="C24" s="13">
        <v>2000</v>
      </c>
      <c r="D24" s="13" t="s"/>
    </row>
    <row r="25">
      <c r="A25" s="13" t="s"/>
      <c r="B25" s="13" t="s">
        <v>22</v>
      </c>
      <c r="C25" s="13">
        <v>0</v>
      </c>
      <c r="D25" s="13" t="s"/>
    </row>
    <row r="26">
      <c r="A26" s="13" t="s"/>
      <c r="B26" s="13" t="s">
        <v>23</v>
      </c>
      <c r="C26" s="13">
        <v>75500</v>
      </c>
      <c r="D26" s="13" t="s"/>
    </row>
    <row r="27">
      <c r="A27" s="13" t="s"/>
      <c r="B27" s="13" t="s">
        <v>24</v>
      </c>
      <c r="C27" s="13">
        <v>-84000</v>
      </c>
      <c r="D27" s="13" t="s"/>
    </row>
    <row r="28">
      <c r="A28" s="13" t="s"/>
      <c r="B28" s="13" t="s">
        <v>25</v>
      </c>
      <c r="C28" s="13">
        <v>0</v>
      </c>
      <c r="D28" s="13" t="s"/>
    </row>
    <row r="29">
      <c r="A29" s="13" t="s"/>
      <c r="B29" s="13" t="s">
        <v>26</v>
      </c>
      <c r="C29" s="13">
        <v>0</v>
      </c>
      <c r="D29" s="13" t="s"/>
    </row>
    <row r="30">
      <c r="A30" s="13" t="s"/>
      <c r="B30" s="13" t="s">
        <v>27</v>
      </c>
      <c r="C30" s="13">
        <v>0</v>
      </c>
      <c r="D30" s="13" t="s"/>
    </row>
    <row r="31">
      <c r="A31" s="13" t="s"/>
      <c r="B31" s="13" t="s"/>
      <c r="C31" s="13" t="s"/>
      <c r="D31" s="13" t="s"/>
    </row>
    <row r="32">
      <c r="A32" s="12" t="s">
        <v>28</v>
      </c>
      <c r="B32" s="12" t="s"/>
      <c r="C32" s="12" t="s"/>
      <c r="D32" s="12">
        <v>0</v>
      </c>
    </row>
    <row r="33">
      <c r="A33" s="13" t="s"/>
      <c r="B33" s="13" t="s">
        <v>29</v>
      </c>
      <c r="C33" s="13">
        <v>0</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13" t="s"/>
      <c r="B38" s="13" t="s">
        <v>34</v>
      </c>
      <c r="C38" s="13">
        <v>0</v>
      </c>
      <c r="D38" s="13" t="s"/>
    </row>
    <row r="39">
      <c r="A39" s="13" t="s"/>
      <c r="B39" s="13" t="s">
        <v>35</v>
      </c>
      <c r="C39" s="13">
        <v>0</v>
      </c>
      <c r="D39" s="13" t="s"/>
    </row>
    <row r="40">
      <c r="A40" s="13" t="s"/>
      <c r="B40" s="13" t="s">
        <v>36</v>
      </c>
      <c r="C40" s="13">
        <v>0</v>
      </c>
      <c r="D40" s="13" t="s"/>
    </row>
    <row r="41">
      <c r="A41" s="13" t="s"/>
      <c r="B41" s="13" t="s"/>
      <c r="C41" s="13" t="s"/>
      <c r="D41" s="13" t="s"/>
    </row>
    <row r="42">
      <c r="A42" s="13" t="s"/>
      <c r="B42" s="13" t="s"/>
      <c r="C42" s="13" t="s"/>
      <c r="D42" s="13" t="s"/>
    </row>
    <row r="43">
      <c r="A43" s="2" t="s"/>
      <c r="B43" s="13" t="s"/>
      <c r="C43" s="13" t="s"/>
      <c r="D43" s="13" t="s"/>
    </row>
    <row r="44"/>
    <row r="45">
      <c r="A45" s="14" t="s">
        <v>37</v>
      </c>
      <c r="B45" s="14" t="s"/>
      <c r="C45" s="14" t="s"/>
      <c r="D45" s="14">
        <v>484125</v>
      </c>
    </row>
    <row r="46">
      <c r="A46" s="1" t="s"/>
    </row>
    <row r="47">
      <c r="A47" s="14" t="s">
        <v>38</v>
      </c>
      <c r="B47" s="14" t="s"/>
      <c r="C47" s="14" t="s"/>
      <c r="D47" s="14" t="s"/>
    </row>
    <row r="48">
      <c r="A48" s="15" t="s">
        <v>39</v>
      </c>
      <c r="B48" s="15" t="s"/>
      <c r="C48" s="15" t="s"/>
      <c r="D48" s="15">
        <v>0</v>
      </c>
    </row>
    <row r="49" ht="14.4" customHeight="true">
      <c r="A49" s="16" t="s"/>
    </row>
    <row r="50">
      <c r="A50" s="13" t="s"/>
      <c r="B50" s="16" t="s"/>
      <c r="C50" s="16" t="s"/>
      <c r="D50" s="16" t="s"/>
    </row>
    <row r="51">
      <c r="A51" s="16"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6" t="s"/>
      <c r="C66" s="16" t="s"/>
      <c r="D66" s="13" t="s"/>
    </row>
    <row r="67">
      <c r="A67" s="16"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3" t="s"/>
      <c r="C76" s="13" t="s"/>
      <c r="D76" s="13" t="s"/>
    </row>
    <row r="77">
      <c r="A77" s="13" t="s"/>
      <c r="B77" s="16" t="s"/>
      <c r="C77" s="16" t="s"/>
      <c r="D77" s="16" t="s"/>
    </row>
    <row r="78">
      <c r="A78" s="16" t="s"/>
      <c r="B78" s="13" t="s"/>
      <c r="C78" s="13" t="s"/>
      <c r="D78" s="13" t="s"/>
    </row>
    <row r="79">
      <c r="A79" s="13" t="s"/>
      <c r="B79" s="13" t="s"/>
      <c r="C79" s="13" t="s"/>
      <c r="D79" s="13" t="s"/>
    </row>
    <row r="80">
      <c r="A80" s="13" t="s"/>
      <c r="B80" s="13" t="s"/>
      <c r="C80" s="13" t="s"/>
      <c r="D80" s="13" t="s"/>
    </row>
    <row r="81">
      <c r="A81" s="13" t="s"/>
      <c r="B81" s="16" t="s"/>
      <c r="C81" s="16" t="s"/>
      <c r="D81" s="16" t="s"/>
    </row>
    <row r="82">
      <c r="A82" s="16" t="s"/>
      <c r="B82" s="13" t="s"/>
      <c r="C82" s="13" t="s"/>
      <c r="D82" s="13" t="s"/>
    </row>
    <row r="83">
      <c r="A83" s="13" t="s"/>
      <c r="B83" s="16" t="s"/>
      <c r="C83" s="16" t="s"/>
      <c r="D83" s="16" t="s"/>
    </row>
    <row r="84">
      <c r="A84" s="16" t="s"/>
      <c r="B84" s="13" t="s"/>
      <c r="C84" s="13" t="s"/>
      <c r="D84" s="13" t="s"/>
    </row>
    <row r="85">
      <c r="A85" s="13" t="s"/>
      <c r="B85" s="16" t="s"/>
      <c r="C85" s="16" t="s"/>
      <c r="D85" s="16" t="s"/>
    </row>
    <row r="86">
      <c r="A86" s="16" t="s"/>
      <c r="B86" s="13" t="s"/>
      <c r="C86" s="13" t="s"/>
      <c r="D86" s="13" t="s"/>
    </row>
    <row r="87">
      <c r="A87" s="13" t="s"/>
      <c r="B87" s="16" t="s"/>
      <c r="C87" s="16" t="s"/>
      <c r="D87" s="16" t="s"/>
    </row>
    <row r="88">
      <c r="A88" s="16" t="s"/>
      <c r="B88" s="13" t="s"/>
      <c r="C88" s="13" t="s"/>
      <c r="D88" s="13" t="s"/>
    </row>
    <row r="89">
      <c r="A89" s="13" t="s"/>
      <c r="B89" s="13" t="s"/>
      <c r="C89" s="13" t="s"/>
      <c r="D89" s="13" t="s"/>
    </row>
    <row r="90">
      <c r="A90" s="13" t="s"/>
      <c r="B90" s="13" t="s"/>
      <c r="C90" s="13" t="s"/>
      <c r="D90" s="13" t="s"/>
    </row>
    <row r="91">
      <c r="A91" s="13" t="s"/>
    </row>
  </sheetData>
  <mergeCells count="15">
    <mergeCell ref="A1:D4"/>
    <mergeCell ref="A5:D5"/>
    <mergeCell ref="B6:D6"/>
    <mergeCell ref="B7:D7"/>
    <mergeCell ref="B8:D8"/>
    <mergeCell ref="A10:C10"/>
    <mergeCell ref="A11:C11"/>
    <mergeCell ref="A12:C12"/>
    <mergeCell ref="A17:C17"/>
    <mergeCell ref="A22:C22"/>
    <mergeCell ref="A23:C23"/>
    <mergeCell ref="A32:C32"/>
    <mergeCell ref="A45:C45"/>
    <mergeCell ref="A47:D47"/>
    <mergeCell ref="A48:C4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O1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s>
  <sheetData>
    <row r="1">
      <c r="A1" s="13" t="s">
        <v>2</v>
      </c>
      <c r="B1" s="13" t="s">
        <v>4</v>
      </c>
      <c r="C1" s="13" t="s">
        <v>6</v>
      </c>
    </row>
    <row r="2">
      <c r="A2" s="13" t="s">
        <v>3</v>
      </c>
      <c r="B2" s="13" t="s">
        <v>5</v>
      </c>
      <c r="C2" s="13" t="s">
        <v>7</v>
      </c>
    </row>
    <row r="3">
      <c r="A3" s="13" t="s"/>
    </row>
    <row r="4"/>
    <row r="5">
      <c r="A5" s="17" t="s">
        <v>40</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f>=SUM(INDIRECT(ADDRESS(6,19)):INDIRECT(ADDRESS(1048576,19)))</f>
      </c>
      <c r="T5" s="17">
        <f>=SUM(INDIRECT(ADDRESS(6,20)):INDIRECT(ADDRESS(1048576,20)))</f>
      </c>
      <c r="U5" s="17" t="s"/>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f>=SUM(INDIRECT(ADDRESS(6,27)):INDIRECT(ADDRESS(1048576,27)))</f>
      </c>
      <c r="AB5" s="17">
        <f>=SUM(INDIRECT(ADDRESS(6,28)):INDIRECT(ADDRESS(1048576,28)))</f>
      </c>
      <c r="AC5" s="17">
        <f>=SUM(INDIRECT(ADDRESS(6,29)):INDIRECT(ADDRESS(1048576,29)))</f>
      </c>
      <c r="AD5" s="17">
        <f>=SUM(INDIRECT(ADDRESS(6,30)):INDIRECT(ADDRESS(1048576,30)))</f>
      </c>
      <c r="AE5" s="17" t="s"/>
      <c r="AF5" s="17">
        <f>=SUM(INDIRECT(ADDRESS(6,32)):INDIRECT(ADDRESS(1048576,32)))</f>
      </c>
      <c r="AG5" s="17">
        <f>=SUM(INDIRECT(ADDRESS(6,33)):INDIRECT(ADDRESS(1048576,33)))</f>
      </c>
      <c r="AH5" s="17" t="s"/>
      <c r="AI5" s="17" t="s"/>
      <c r="AJ5" s="17" t="s"/>
      <c r="AK5" s="17">
        <f>=SUM(INDIRECT(ADDRESS(6,37)):INDIRECT(ADDRESS(1048576,37)))</f>
      </c>
      <c r="AL5" s="17">
        <f>=SUM(INDIRECT(ADDRESS(6,38)):INDIRECT(ADDRESS(1048576,38)))</f>
      </c>
      <c r="AM5" s="17">
        <f>=SUM(INDIRECT(ADDRESS(6,39)):INDIRECT(ADDRESS(1048576,39)))</f>
      </c>
      <c r="AN5" s="17">
        <f>=SUM(INDIRECT(ADDRESS(6,40)):INDIRECT(ADDRESS(1048576,40)))</f>
      </c>
      <c r="AO5" s="17">
        <f>=SUM(INDIRECT(ADDRESS(6,41)):INDIRECT(ADDRESS(1048576,41)))</f>
      </c>
    </row>
    <row r="6">
      <c r="A6" s="17" t="s">
        <v>41</v>
      </c>
      <c r="B6" s="17" t="s">
        <v>42</v>
      </c>
      <c r="C6" s="17" t="s">
        <v>43</v>
      </c>
      <c r="D6" s="17" t="s">
        <v>44</v>
      </c>
      <c r="E6" s="17" t="s">
        <v>45</v>
      </c>
      <c r="F6" s="17" t="s">
        <v>46</v>
      </c>
      <c r="G6" s="17" t="s">
        <v>47</v>
      </c>
      <c r="H6" s="17" t="s">
        <v>12</v>
      </c>
      <c r="I6" s="17" t="s">
        <v>13</v>
      </c>
      <c r="J6" s="17" t="s">
        <v>14</v>
      </c>
      <c r="K6" s="17" t="s">
        <v>16</v>
      </c>
      <c r="L6" s="17" t="s">
        <v>17</v>
      </c>
      <c r="M6" s="17" t="s">
        <v>18</v>
      </c>
      <c r="N6" s="17" t="s">
        <v>21</v>
      </c>
      <c r="O6" s="17" t="s">
        <v>22</v>
      </c>
      <c r="P6" s="17" t="s">
        <v>23</v>
      </c>
      <c r="Q6" s="17" t="s">
        <v>24</v>
      </c>
      <c r="R6" s="17" t="s">
        <v>25</v>
      </c>
      <c r="S6" s="17" t="s">
        <v>27</v>
      </c>
      <c r="T6" s="17" t="s">
        <v>26</v>
      </c>
      <c r="U6" s="17" t="s">
        <v>29</v>
      </c>
      <c r="V6" s="17" t="s">
        <v>30</v>
      </c>
      <c r="W6" s="17" t="s">
        <v>31</v>
      </c>
      <c r="X6" s="17" t="s">
        <v>32</v>
      </c>
      <c r="Y6" s="17" t="s">
        <v>33</v>
      </c>
      <c r="Z6" s="17" t="s">
        <v>34</v>
      </c>
      <c r="AA6" s="17" t="s">
        <v>35</v>
      </c>
      <c r="AB6" s="17" t="s">
        <v>36</v>
      </c>
      <c r="AC6" s="17" t="s">
        <v>48</v>
      </c>
      <c r="AD6" s="17" t="s">
        <v>49</v>
      </c>
      <c r="AE6" s="17" t="s">
        <v>50</v>
      </c>
      <c r="AF6" s="17" t="s">
        <v>51</v>
      </c>
      <c r="AG6" s="17" t="s">
        <v>39</v>
      </c>
      <c r="AH6" s="17" t="s">
        <v>52</v>
      </c>
      <c r="AI6" s="17" t="s">
        <v>53</v>
      </c>
      <c r="AJ6" s="17" t="s"/>
      <c r="AK6" s="17" t="s">
        <v>54</v>
      </c>
      <c r="AL6" s="17" t="s">
        <v>55</v>
      </c>
      <c r="AM6" s="17" t="s">
        <v>56</v>
      </c>
      <c r="AN6" s="17" t="s">
        <v>57</v>
      </c>
      <c r="AO6" s="17" t="s">
        <v>58</v>
      </c>
    </row>
    <row r="7">
      <c r="A7" s="17">
        <v>1</v>
      </c>
      <c r="B7" s="17" t="s">
        <v>59</v>
      </c>
      <c r="C7" s="17" t="s"/>
      <c r="D7" s="17" t="s">
        <v>60</v>
      </c>
      <c r="E7" s="17" t="s">
        <v>61</v>
      </c>
      <c r="F7" s="17" t="s">
        <v>62</v>
      </c>
      <c r="G7" s="17" t="s">
        <v>5</v>
      </c>
      <c r="H7" s="17">
        <v>127537</v>
      </c>
      <c r="I7" s="17">
        <v>-29412</v>
      </c>
      <c r="J7" s="17">
        <v>0</v>
      </c>
      <c r="K7" s="17">
        <v>0</v>
      </c>
      <c r="L7" s="17">
        <v>0</v>
      </c>
      <c r="M7" s="17">
        <v>0</v>
      </c>
      <c r="N7" s="17">
        <v>0</v>
      </c>
      <c r="O7" s="17">
        <v>0</v>
      </c>
      <c r="P7" s="17">
        <v>8000</v>
      </c>
      <c r="Q7" s="17">
        <v>-8000</v>
      </c>
      <c r="R7" s="17">
        <v>0</v>
      </c>
      <c r="S7" s="17">
        <v>0</v>
      </c>
      <c r="T7" s="17">
        <v>0</v>
      </c>
      <c r="U7" s="17">
        <v>0</v>
      </c>
      <c r="V7" s="17">
        <v>0</v>
      </c>
      <c r="W7" s="17">
        <v>0</v>
      </c>
      <c r="X7" s="17">
        <v>0</v>
      </c>
      <c r="Y7" s="17">
        <v>0</v>
      </c>
      <c r="Z7" s="17">
        <v>0</v>
      </c>
      <c r="AA7" s="17">
        <v>0</v>
      </c>
      <c r="AB7" s="17">
        <v>0</v>
      </c>
      <c r="AC7" s="17">
        <v>0</v>
      </c>
      <c r="AD7" s="17">
        <v>98125</v>
      </c>
      <c r="AE7" s="17" t="s"/>
      <c r="AF7" s="17">
        <v>0</v>
      </c>
      <c r="AG7" s="17">
        <v>0</v>
      </c>
      <c r="AH7" s="17" t="s">
        <v>63</v>
      </c>
      <c r="AI7" s="17" t="s">
        <v>64</v>
      </c>
      <c r="AJ7" s="17" t="s"/>
      <c r="AK7" s="17">
        <v>0</v>
      </c>
      <c r="AL7" s="17">
        <v>0</v>
      </c>
      <c r="AM7" s="17">
        <v>0</v>
      </c>
      <c r="AN7" s="17">
        <v>0</v>
      </c>
      <c r="AO7" s="17">
        <v>0</v>
      </c>
    </row>
    <row r="8">
      <c r="A8" s="17">
        <v>2</v>
      </c>
      <c r="B8" s="17" t="s">
        <v>65</v>
      </c>
      <c r="C8" s="17" t="s"/>
      <c r="D8" s="17" t="s">
        <v>66</v>
      </c>
      <c r="E8" s="17" t="s">
        <v>67</v>
      </c>
      <c r="F8" s="17" t="s">
        <v>68</v>
      </c>
      <c r="G8" s="17" t="s">
        <v>5</v>
      </c>
      <c r="H8" s="17">
        <v>127537</v>
      </c>
      <c r="I8" s="17">
        <v>-29412</v>
      </c>
      <c r="J8" s="17">
        <v>0</v>
      </c>
      <c r="K8" s="17">
        <v>0</v>
      </c>
      <c r="L8" s="17">
        <v>0</v>
      </c>
      <c r="M8" s="17">
        <v>0</v>
      </c>
      <c r="N8" s="17">
        <v>0</v>
      </c>
      <c r="O8" s="17">
        <v>0</v>
      </c>
      <c r="P8" s="17">
        <v>6500</v>
      </c>
      <c r="Q8" s="17">
        <v>-6500</v>
      </c>
      <c r="R8" s="17">
        <v>0</v>
      </c>
      <c r="S8" s="17">
        <v>0</v>
      </c>
      <c r="T8" s="17">
        <v>0</v>
      </c>
      <c r="U8" s="17">
        <v>0</v>
      </c>
      <c r="V8" s="17">
        <v>0</v>
      </c>
      <c r="W8" s="17">
        <v>0</v>
      </c>
      <c r="X8" s="17">
        <v>0</v>
      </c>
      <c r="Y8" s="17">
        <v>0</v>
      </c>
      <c r="Z8" s="17">
        <v>0</v>
      </c>
      <c r="AA8" s="17">
        <v>0</v>
      </c>
      <c r="AB8" s="17">
        <v>0</v>
      </c>
      <c r="AC8" s="17">
        <v>0</v>
      </c>
      <c r="AD8" s="17">
        <v>98125</v>
      </c>
      <c r="AE8" s="17" t="s"/>
      <c r="AF8" s="17">
        <v>0</v>
      </c>
      <c r="AG8" s="17">
        <v>0</v>
      </c>
      <c r="AH8" s="17" t="s">
        <v>63</v>
      </c>
      <c r="AI8" s="17" t="s">
        <v>64</v>
      </c>
      <c r="AJ8" s="17" t="s"/>
      <c r="AK8" s="17">
        <v>0</v>
      </c>
      <c r="AL8" s="17">
        <v>0</v>
      </c>
      <c r="AM8" s="17">
        <v>0</v>
      </c>
      <c r="AN8" s="17">
        <v>0</v>
      </c>
      <c r="AO8" s="17">
        <v>0</v>
      </c>
    </row>
    <row r="9">
      <c r="A9" s="17">
        <v>3</v>
      </c>
      <c r="B9" s="17" t="s">
        <v>69</v>
      </c>
      <c r="C9" s="17" t="s"/>
      <c r="D9" s="17" t="s">
        <v>70</v>
      </c>
      <c r="E9" s="17" t="s">
        <v>61</v>
      </c>
      <c r="F9" s="17" t="s">
        <v>62</v>
      </c>
      <c r="G9" s="17" t="s">
        <v>5</v>
      </c>
      <c r="H9" s="17">
        <v>127537</v>
      </c>
      <c r="I9" s="17">
        <v>-29412</v>
      </c>
      <c r="J9" s="17">
        <v>0</v>
      </c>
      <c r="K9" s="17">
        <v>0</v>
      </c>
      <c r="L9" s="17">
        <v>0</v>
      </c>
      <c r="M9" s="17">
        <v>0</v>
      </c>
      <c r="N9" s="17">
        <v>0</v>
      </c>
      <c r="O9" s="17">
        <v>0</v>
      </c>
      <c r="P9" s="17">
        <v>8000</v>
      </c>
      <c r="Q9" s="17">
        <v>-8000</v>
      </c>
      <c r="R9" s="17">
        <v>0</v>
      </c>
      <c r="S9" s="17">
        <v>0</v>
      </c>
      <c r="T9" s="17">
        <v>0</v>
      </c>
      <c r="U9" s="17">
        <v>0</v>
      </c>
      <c r="V9" s="17">
        <v>0</v>
      </c>
      <c r="W9" s="17">
        <v>0</v>
      </c>
      <c r="X9" s="17">
        <v>0</v>
      </c>
      <c r="Y9" s="17">
        <v>0</v>
      </c>
      <c r="Z9" s="17">
        <v>0</v>
      </c>
      <c r="AA9" s="17">
        <v>0</v>
      </c>
      <c r="AB9" s="17">
        <v>0</v>
      </c>
      <c r="AC9" s="17">
        <v>0</v>
      </c>
      <c r="AD9" s="17">
        <v>98125</v>
      </c>
      <c r="AE9" s="17" t="s"/>
      <c r="AF9" s="17">
        <v>0</v>
      </c>
      <c r="AG9" s="17">
        <v>0</v>
      </c>
      <c r="AH9" s="17" t="s">
        <v>63</v>
      </c>
      <c r="AI9" s="17" t="s">
        <v>64</v>
      </c>
      <c r="AJ9" s="17" t="s"/>
      <c r="AK9" s="17">
        <v>0</v>
      </c>
      <c r="AL9" s="17">
        <v>0</v>
      </c>
      <c r="AM9" s="17">
        <v>0</v>
      </c>
      <c r="AN9" s="17">
        <v>0</v>
      </c>
      <c r="AO9" s="17">
        <v>0</v>
      </c>
    </row>
    <row r="10">
      <c r="A10" s="17">
        <v>4</v>
      </c>
      <c r="B10" s="17" t="s">
        <v>71</v>
      </c>
      <c r="C10" s="17" t="s"/>
      <c r="D10" s="17" t="s">
        <v>72</v>
      </c>
      <c r="E10" s="17" t="s">
        <v>73</v>
      </c>
      <c r="F10" s="17" t="s">
        <v>62</v>
      </c>
      <c r="G10" s="17" t="s">
        <v>74</v>
      </c>
      <c r="H10" s="17">
        <v>127537</v>
      </c>
      <c r="I10" s="17">
        <v>-29412</v>
      </c>
      <c r="J10" s="17">
        <v>0</v>
      </c>
      <c r="K10" s="17">
        <v>0</v>
      </c>
      <c r="L10" s="17">
        <v>0</v>
      </c>
      <c r="M10" s="17">
        <v>0</v>
      </c>
      <c r="N10" s="17">
        <v>2000</v>
      </c>
      <c r="O10" s="17">
        <v>0</v>
      </c>
      <c r="P10" s="17">
        <v>40000</v>
      </c>
      <c r="Q10" s="17">
        <v>-42000</v>
      </c>
      <c r="R10" s="17">
        <v>0</v>
      </c>
      <c r="S10" s="17">
        <v>0</v>
      </c>
      <c r="T10" s="17">
        <v>0</v>
      </c>
      <c r="U10" s="17">
        <v>0</v>
      </c>
      <c r="V10" s="17">
        <v>0</v>
      </c>
      <c r="W10" s="17">
        <v>0</v>
      </c>
      <c r="X10" s="17">
        <v>0</v>
      </c>
      <c r="Y10" s="17">
        <v>0</v>
      </c>
      <c r="Z10" s="17">
        <v>0</v>
      </c>
      <c r="AA10" s="17">
        <v>0</v>
      </c>
      <c r="AB10" s="17">
        <v>0</v>
      </c>
      <c r="AC10" s="17">
        <v>0</v>
      </c>
      <c r="AD10" s="17">
        <v>98125</v>
      </c>
      <c r="AE10" s="17" t="s"/>
      <c r="AF10" s="17">
        <v>0</v>
      </c>
      <c r="AG10" s="17">
        <v>0</v>
      </c>
      <c r="AH10" s="17" t="s">
        <v>63</v>
      </c>
      <c r="AI10" s="17" t="s">
        <v>64</v>
      </c>
      <c r="AJ10" s="17" t="s"/>
      <c r="AK10" s="17">
        <v>0</v>
      </c>
      <c r="AL10" s="17">
        <v>0</v>
      </c>
      <c r="AM10" s="17">
        <v>0</v>
      </c>
      <c r="AN10" s="17">
        <v>0</v>
      </c>
      <c r="AO10" s="17">
        <v>0</v>
      </c>
    </row>
    <row r="11">
      <c r="A11" s="17">
        <v>5</v>
      </c>
      <c r="B11" s="17" t="s">
        <v>75</v>
      </c>
      <c r="C11" s="17">
        <v>216029738299875</v>
      </c>
      <c r="D11" s="17" t="s">
        <v>76</v>
      </c>
      <c r="E11" s="17" t="s">
        <v>5</v>
      </c>
      <c r="F11" s="17" t="s">
        <v>68</v>
      </c>
      <c r="G11" s="17" t="s">
        <v>7</v>
      </c>
      <c r="H11" s="17">
        <v>127537</v>
      </c>
      <c r="I11" s="17">
        <v>-29412</v>
      </c>
      <c r="J11" s="17">
        <v>-98125</v>
      </c>
      <c r="K11" s="17">
        <v>0</v>
      </c>
      <c r="L11" s="17">
        <v>0</v>
      </c>
      <c r="M11" s="17">
        <v>0</v>
      </c>
      <c r="N11" s="17">
        <v>0</v>
      </c>
      <c r="O11" s="17">
        <v>0</v>
      </c>
      <c r="P11" s="17">
        <v>0</v>
      </c>
      <c r="Q11" s="17">
        <v>-6500</v>
      </c>
      <c r="R11" s="17">
        <v>0</v>
      </c>
      <c r="S11" s="17">
        <v>0</v>
      </c>
      <c r="T11" s="17">
        <v>0</v>
      </c>
      <c r="U11" s="17">
        <v>0</v>
      </c>
      <c r="V11" s="17">
        <v>0</v>
      </c>
      <c r="W11" s="17">
        <v>0</v>
      </c>
      <c r="X11" s="17">
        <v>0</v>
      </c>
      <c r="Y11" s="17">
        <v>0</v>
      </c>
      <c r="Z11" s="17">
        <v>0</v>
      </c>
      <c r="AA11" s="17">
        <v>0</v>
      </c>
      <c r="AB11" s="17">
        <v>0</v>
      </c>
      <c r="AC11" s="17">
        <v>0</v>
      </c>
      <c r="AD11" s="17">
        <v>-6500</v>
      </c>
      <c r="AE11" s="17" t="s"/>
      <c r="AF11" s="17">
        <v>0</v>
      </c>
      <c r="AG11" s="17">
        <v>0</v>
      </c>
      <c r="AH11" s="17" t="s">
        <v>63</v>
      </c>
      <c r="AI11" s="17" t="s">
        <v>64</v>
      </c>
      <c r="AJ11" s="17" t="s"/>
      <c r="AK11" s="17">
        <v>-98125</v>
      </c>
      <c r="AL11" s="17">
        <v>0</v>
      </c>
      <c r="AM11" s="17">
        <v>0</v>
      </c>
      <c r="AN11" s="17">
        <v>0</v>
      </c>
      <c r="AO11" s="17">
        <v>0</v>
      </c>
    </row>
    <row r="12">
      <c r="A12" s="17">
        <v>6</v>
      </c>
      <c r="B12" s="17" t="s">
        <v>77</v>
      </c>
      <c r="C12" s="17" t="s"/>
      <c r="D12" s="17" t="s">
        <v>78</v>
      </c>
      <c r="E12" s="17" t="s">
        <v>73</v>
      </c>
      <c r="F12" s="17" t="s">
        <v>68</v>
      </c>
      <c r="G12" s="17" t="s">
        <v>7</v>
      </c>
      <c r="H12" s="17">
        <v>127537</v>
      </c>
      <c r="I12" s="17">
        <v>-29412</v>
      </c>
      <c r="J12" s="17">
        <v>0</v>
      </c>
      <c r="K12" s="17">
        <v>0</v>
      </c>
      <c r="L12" s="17">
        <v>0</v>
      </c>
      <c r="M12" s="17">
        <v>0</v>
      </c>
      <c r="N12" s="17">
        <v>0</v>
      </c>
      <c r="O12" s="17">
        <v>0</v>
      </c>
      <c r="P12" s="17">
        <v>13000</v>
      </c>
      <c r="Q12" s="17">
        <v>-13000</v>
      </c>
      <c r="R12" s="17">
        <v>0</v>
      </c>
      <c r="S12" s="17">
        <v>0</v>
      </c>
      <c r="T12" s="17">
        <v>0</v>
      </c>
      <c r="U12" s="17">
        <v>0</v>
      </c>
      <c r="V12" s="17">
        <v>0</v>
      </c>
      <c r="W12" s="17">
        <v>0</v>
      </c>
      <c r="X12" s="17">
        <v>0</v>
      </c>
      <c r="Y12" s="17">
        <v>0</v>
      </c>
      <c r="Z12" s="17">
        <v>0</v>
      </c>
      <c r="AA12" s="17">
        <v>0</v>
      </c>
      <c r="AB12" s="17">
        <v>0</v>
      </c>
      <c r="AC12" s="17">
        <v>0</v>
      </c>
      <c r="AD12" s="17">
        <v>98125</v>
      </c>
      <c r="AE12" s="17" t="s"/>
      <c r="AF12" s="17">
        <v>0</v>
      </c>
      <c r="AG12" s="17">
        <v>0</v>
      </c>
      <c r="AH12" s="17" t="s">
        <v>79</v>
      </c>
      <c r="AI12" s="17" t="s">
        <v>80</v>
      </c>
      <c r="AJ12" s="17" t="s"/>
      <c r="AK12" s="17">
        <v>0</v>
      </c>
      <c r="AL12" s="17">
        <v>0</v>
      </c>
      <c r="AM12" s="17">
        <v>0</v>
      </c>
      <c r="AN12" s="17">
        <v>0</v>
      </c>
      <c r="AO12"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